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deola\clinical-data-portfolio\sop-qsm-version-control-tracker\"/>
    </mc:Choice>
  </mc:AlternateContent>
  <xr:revisionPtr revIDLastSave="0" documentId="13_ncr:1_{817D0E79-04C7-4EE3-A528-BDA7F4790E7F}" xr6:coauthVersionLast="47" xr6:coauthVersionMax="47" xr10:uidLastSave="{00000000-0000-0000-0000-000000000000}"/>
  <bookViews>
    <workbookView xWindow="-110" yWindow="-110" windowWidth="19420" windowHeight="10300" activeTab="1" xr2:uid="{4E23EB7A-6D0F-4A01-ACFF-5EA9D42706E6}"/>
  </bookViews>
  <sheets>
    <sheet name="sop-version-control-log" sheetId="1" r:id="rId1"/>
    <sheet name="Dashboard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F4" i="2" s="1"/>
  <c r="E3" i="2"/>
  <c r="F3" i="2" s="1"/>
  <c r="E2" i="2"/>
  <c r="F2" i="2" s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<sst xmlns="http://schemas.openxmlformats.org/spreadsheetml/2006/main" count="61" uniqueCount="37">
  <si>
    <t>SOP Number</t>
  </si>
  <si>
    <t>Title</t>
  </si>
  <si>
    <t>Version</t>
  </si>
  <si>
    <t>Effective Date</t>
  </si>
  <si>
    <t>Approved By</t>
  </si>
  <si>
    <t>Change Summary</t>
  </si>
  <si>
    <t>Last Review Date</t>
  </si>
  <si>
    <t>Next Review Due</t>
  </si>
  <si>
    <t>SOP-CD-001</t>
  </si>
  <si>
    <t>Query Resolution</t>
  </si>
  <si>
    <t>27-May-2026</t>
  </si>
  <si>
    <t>Dr. Rasheedat, Clinical Data Manager</t>
  </si>
  <si>
    <t>Initial release.</t>
  </si>
  <si>
    <t>25-May-2026</t>
  </si>
  <si>
    <t>05-Jun-2026</t>
  </si>
  <si>
    <t>Shortened Data Manager escalation review from 3 to 1 business day; shortened Site Staff response window from 3 to 1 business day; strengthened language from 'should' to 'must' throughout Procedure; broadened query identification to include near-extreme values and 'all discrepancies'.</t>
  </si>
  <si>
    <t>01-Jun-2026</t>
  </si>
  <si>
    <t>SOP-CD-002</t>
  </si>
  <si>
    <t>Data Entry</t>
  </si>
  <si>
    <t>14-Jun-2026</t>
  </si>
  <si>
    <t>07-Jun-2026</t>
  </si>
  <si>
    <t>18-Jun-2026</t>
  </si>
  <si>
    <t>Strengthened 'should' to 'must' throughout; added verbatim free-text entry rule (2.2); added 2 business day allowance for repeat visits (2.3); added rationale clause to self-check step; broadened SDV trigger to 'any discrepancy whatsoever'.</t>
  </si>
  <si>
    <t>16-Jun-2026</t>
  </si>
  <si>
    <t>SOP-CD-003</t>
  </si>
  <si>
    <t>Database Lock</t>
  </si>
  <si>
    <t>06-Aug-2026</t>
  </si>
  <si>
    <t>Initial release. No formal Pre-Lock Checklist step included prior to Lock Approval.</t>
  </si>
  <si>
    <t>03-Aug-2026</t>
  </si>
  <si>
    <t>12-Aug-2026</t>
  </si>
  <si>
    <t>Shortened query-resolution-before-lock window from 10 to 7 business days; added new Pre-Lock Checklist step (queries closed, 100% SDV complete, data cleaning finished); added Data Coordinator responsibility to prepare checklist; added Data Manager checklist-review duty; added validity condition on unlock-request justification; closed 'knowingly or unknowingly' loophole on unauthorized edits; fixed step-numbering defect from v1.0.</t>
  </si>
  <si>
    <t>08-Aug-2026</t>
  </si>
  <si>
    <t>SOP &amp; QMS Document Version-Control Log - Clinical Data Management</t>
  </si>
  <si>
    <t>Adeola Clinical Trial Study - tracks all SOP versions, authors, change summaries, and review dates</t>
  </si>
  <si>
    <t>Current Version</t>
  </si>
  <si>
    <t>Days Until Review</t>
  </si>
  <si>
    <t xml:space="preserve"> Database 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</si>
</sst>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m\-yyyy"/>
  </numFmts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  <font>
      <sz val="14"/>
      <color theme="1"/>
      <name val="Arial Black"/>
      <family val="2"/>
    </font>
    <font>
      <sz val="11"/>
      <color theme="1"/>
      <name val="Arial Nova"/>
      <family val="2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5" fontId="2" fillId="0" borderId="1" xfId="0" applyNumberFormat="1" applyFont="1" applyBorder="1" applyAlignment="1">
      <alignment horizontal="center" vertical="top" wrapText="1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5" fillId="0" borderId="0" xfId="0" applyFont="1"/>
    <xf numFmtId="0" fontId="2" fillId="0" borderId="1" xfId="0" applyFont="1" applyBorder="1" applyAlignment="1">
      <alignment wrapText="1"/>
    </xf>
    <xf numFmtId="164" fontId="0" fillId="0" borderId="0" xfId="0" applyNumberFormat="1"/>
    <xf numFmtId="165" fontId="2" fillId="0" borderId="1" xfId="0" applyNumberFormat="1" applyFont="1" applyBorder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Segoe UI Black" panose="020B0A02040204020203" pitchFamily="34" charset="0"/>
                <a:ea typeface="Segoe UI Black" panose="020B0A02040204020203" pitchFamily="34" charset="0"/>
              </a:rPr>
              <a:t>SOP REVIEW TIMELINE</a:t>
            </a:r>
          </a:p>
        </c:rich>
      </c:tx>
      <c:layout>
        <c:manualLayout>
          <c:xMode val="edge"/>
          <c:yMode val="edge"/>
          <c:x val="0.244284558180227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803149606299223E-2"/>
          <c:y val="0.15782407407407409"/>
          <c:w val="0.83419563536521868"/>
          <c:h val="0.610854773726532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Dashboard!$F$1</c:f>
              <c:strCache>
                <c:ptCount val="1"/>
                <c:pt idx="0">
                  <c:v>Days Until Review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Dashboard!$A$2:$A$4</c:f>
              <c:strCache>
                <c:ptCount val="3"/>
                <c:pt idx="0">
                  <c:v>SOP-CD-001</c:v>
                </c:pt>
                <c:pt idx="1">
                  <c:v>SOP-CD-002</c:v>
                </c:pt>
                <c:pt idx="2">
                  <c:v>SOP-CD-003</c:v>
                </c:pt>
              </c:strCache>
            </c:strRef>
          </c:cat>
          <c:val>
            <c:numRef>
              <c:f>Dashboard!$F$2:$F$4</c:f>
              <c:numCache>
                <c:formatCode>0</c:formatCode>
                <c:ptCount val="3"/>
                <c:pt idx="0">
                  <c:v>91</c:v>
                </c:pt>
                <c:pt idx="1">
                  <c:v>104</c:v>
                </c:pt>
                <c:pt idx="2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B-4A7B-B913-E74F954C9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90640"/>
        <c:axId val="119637744"/>
      </c:barChart>
      <c:catAx>
        <c:axId val="12879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SOP</a:t>
                </a:r>
                <a:r>
                  <a:rPr lang="en-GB" b="1" baseline="0"/>
                  <a:t> Number</a:t>
                </a:r>
                <a:endParaRPr lang="en-GB" b="1"/>
              </a:p>
            </c:rich>
          </c:tx>
          <c:layout>
            <c:manualLayout>
              <c:xMode val="edge"/>
              <c:yMode val="edge"/>
              <c:x val="0.433408549382229"/>
              <c:y val="0.875338114582810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37744"/>
        <c:crosses val="autoZero"/>
        <c:auto val="1"/>
        <c:lblAlgn val="ctr"/>
        <c:lblOffset val="100"/>
        <c:noMultiLvlLbl val="0"/>
      </c:catAx>
      <c:valAx>
        <c:axId val="11963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ln>
                      <a:noFill/>
                    </a:ln>
                  </a:rPr>
                  <a:t>Days</a:t>
                </a:r>
                <a:r>
                  <a:rPr lang="en-GB" b="1" baseline="0">
                    <a:ln>
                      <a:noFill/>
                    </a:ln>
                  </a:rPr>
                  <a:t> Until Review</a:t>
                </a:r>
                <a:endParaRPr lang="en-GB" b="1">
                  <a:ln>
                    <a:noFill/>
                  </a:ln>
                </a:endParaRPr>
              </a:p>
            </c:rich>
          </c:tx>
          <c:layout>
            <c:manualLayout>
              <c:xMode val="edge"/>
              <c:yMode val="edge"/>
              <c:x val="0"/>
              <c:y val="0.270969122490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9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1022351</xdr:colOff>
      <xdr:row>7</xdr:row>
      <xdr:rowOff>101600</xdr:rowOff>
    </xdr:from>
    <xdr:to>
      <xdr:col>4</xdr:col>
      <xdr:colOff>800101</xdr:colOff>
      <xdr:row>23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F5BD5F-1668-3A3B-2AAC-95F1614DD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2865-1B81-4188-BD87-277C5285B5B7}">
  <dimension ref="A1:H11"/>
  <sheetViews>
    <sheetView workbookViewId="0">
      <pane ySplit="5" topLeftCell="A6" activePane="bottomLeft" state="frozen"/>
      <selection pane="bottomLeft" activeCell="H6" sqref="H6"/>
    </sheetView>
  </sheetViews>
  <sheetFormatPr defaultRowHeight="14.5" x14ac:dyDescent="0.35"/>
  <cols>
    <col min="1" max="1" width="19.36328125" customWidth="1"/>
    <col min="2" max="2" width="20.08984375" customWidth="1"/>
    <col min="3" max="3" width="19.54296875" style="15" customWidth="1"/>
    <col min="4" max="4" width="22.6328125" style="11" customWidth="1"/>
    <col min="5" max="5" width="32.81640625" style="21" customWidth="1"/>
    <col min="6" max="6" width="50.6328125" customWidth="1"/>
    <col min="7" max="7" width="17.453125" style="15" customWidth="1"/>
    <col min="8" max="8" width="17" style="15" customWidth="1"/>
  </cols>
  <sheetData>
    <row r="1" spans="1:8" s="5" customFormat="1" ht="22" x14ac:dyDescent="0.65">
      <c r="A1" s="5" t="s">
        <v>32</v>
      </c>
      <c r="C1" s="13"/>
      <c r="D1" s="9"/>
      <c r="E1" s="19"/>
      <c r="G1" s="17"/>
      <c r="H1" s="17"/>
    </row>
    <row r="2" spans="1:8" s="6" customFormat="1" ht="14" x14ac:dyDescent="0.3">
      <c r="A2" s="6" t="s">
        <v>33</v>
      </c>
      <c r="C2" s="14"/>
      <c r="D2" s="10"/>
      <c r="E2" s="20"/>
      <c r="G2" s="18"/>
      <c r="H2" s="18"/>
    </row>
    <row r="5" spans="1:8" ht="28" x14ac:dyDescent="0.35">
      <c r="A5" s="1" t="s">
        <v>0</v>
      </c>
      <c r="B5" s="1" t="s">
        <v>1</v>
      </c>
      <c r="C5" s="2" t="s">
        <v>2</v>
      </c>
      <c r="D5" s="8" t="s">
        <v>3</v>
      </c>
      <c r="E5" s="22" t="s">
        <v>4</v>
      </c>
      <c r="F5" s="1" t="s">
        <v>5</v>
      </c>
      <c r="G5" s="1" t="s">
        <v>6</v>
      </c>
      <c r="H5" s="1" t="s">
        <v>7</v>
      </c>
    </row>
    <row r="6" spans="1:8" ht="25.5" customHeight="1" x14ac:dyDescent="0.35">
      <c r="A6" s="3" t="s">
        <v>8</v>
      </c>
      <c r="B6" s="3" t="s">
        <v>9</v>
      </c>
      <c r="C6" s="16">
        <v>1</v>
      </c>
      <c r="D6" s="12" t="s">
        <v>10</v>
      </c>
      <c r="E6" s="23" t="s">
        <v>11</v>
      </c>
      <c r="F6" s="3" t="s">
        <v>12</v>
      </c>
      <c r="G6" s="12" t="s">
        <v>13</v>
      </c>
      <c r="H6" s="4">
        <f t="shared" ref="H6:H11" si="0">DATEVALUE(D6)+180</f>
        <v>46349</v>
      </c>
    </row>
    <row r="7" spans="1:8" ht="62.5" x14ac:dyDescent="0.35">
      <c r="A7" s="3" t="s">
        <v>8</v>
      </c>
      <c r="B7" s="3" t="s">
        <v>9</v>
      </c>
      <c r="C7" s="16">
        <v>2</v>
      </c>
      <c r="D7" s="12" t="s">
        <v>14</v>
      </c>
      <c r="E7" s="23" t="s">
        <v>11</v>
      </c>
      <c r="F7" s="3" t="s">
        <v>15</v>
      </c>
      <c r="G7" s="12" t="s">
        <v>16</v>
      </c>
      <c r="H7" s="4">
        <f t="shared" si="0"/>
        <v>46358</v>
      </c>
    </row>
    <row r="8" spans="1:8" ht="34.5" customHeight="1" x14ac:dyDescent="0.35">
      <c r="A8" s="3" t="s">
        <v>17</v>
      </c>
      <c r="B8" s="3" t="s">
        <v>18</v>
      </c>
      <c r="C8" s="16">
        <v>1</v>
      </c>
      <c r="D8" s="12" t="s">
        <v>19</v>
      </c>
      <c r="E8" s="23" t="s">
        <v>11</v>
      </c>
      <c r="F8" s="3" t="s">
        <v>12</v>
      </c>
      <c r="G8" s="12" t="s">
        <v>20</v>
      </c>
      <c r="H8" s="4">
        <f t="shared" si="0"/>
        <v>46367</v>
      </c>
    </row>
    <row r="9" spans="1:8" ht="50" x14ac:dyDescent="0.35">
      <c r="A9" s="3" t="s">
        <v>17</v>
      </c>
      <c r="B9" s="3" t="s">
        <v>18</v>
      </c>
      <c r="C9" s="16">
        <v>2</v>
      </c>
      <c r="D9" s="12" t="s">
        <v>21</v>
      </c>
      <c r="E9" s="23" t="s">
        <v>11</v>
      </c>
      <c r="F9" s="3" t="s">
        <v>22</v>
      </c>
      <c r="G9" s="12" t="s">
        <v>23</v>
      </c>
      <c r="H9" s="4">
        <f t="shared" si="0"/>
        <v>46371</v>
      </c>
    </row>
    <row r="10" spans="1:8" ht="25" x14ac:dyDescent="0.35">
      <c r="A10" s="3" t="s">
        <v>24</v>
      </c>
      <c r="B10" s="3" t="s">
        <v>25</v>
      </c>
      <c r="C10" s="16">
        <v>1</v>
      </c>
      <c r="D10" s="12" t="s">
        <v>26</v>
      </c>
      <c r="E10" s="23" t="s">
        <v>11</v>
      </c>
      <c r="F10" s="3" t="s">
        <v>27</v>
      </c>
      <c r="G10" s="12" t="s">
        <v>28</v>
      </c>
      <c r="H10" s="4">
        <f t="shared" si="0"/>
        <v>46420</v>
      </c>
    </row>
    <row r="11" spans="1:8" ht="100" x14ac:dyDescent="0.35">
      <c r="A11" s="3" t="s">
        <v>24</v>
      </c>
      <c r="B11" s="3" t="s">
        <v>25</v>
      </c>
      <c r="C11" s="16">
        <v>2</v>
      </c>
      <c r="D11" s="12" t="s">
        <v>29</v>
      </c>
      <c r="E11" s="23" t="s">
        <v>11</v>
      </c>
      <c r="F11" s="3" t="s">
        <v>30</v>
      </c>
      <c r="G11" s="12" t="s">
        <v>31</v>
      </c>
      <c r="H11" s="4">
        <f t="shared" si="0"/>
        <v>46426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D81A-7DFB-4B2F-9255-3138EBD97720}">
  <dimension ref="A1:F4"/>
  <sheetViews>
    <sheetView tabSelected="1" topLeftCell="A6" workbookViewId="0">
      <selection activeCell="F14" sqref="F14"/>
    </sheetView>
  </sheetViews>
  <sheetFormatPr defaultRowHeight="14.5" x14ac:dyDescent="0.35"/>
  <cols>
    <col min="1" max="1" width="15.7265625" bestFit="1" customWidth="1"/>
    <col min="2" max="2" width="15.26953125" bestFit="1" customWidth="1"/>
    <col min="3" max="3" width="19.08984375" bestFit="1" customWidth="1"/>
    <col min="4" max="4" width="20" bestFit="1" customWidth="1"/>
    <col min="5" max="5" width="19.54296875" bestFit="1" customWidth="1"/>
    <col min="6" max="6" width="15.36328125" customWidth="1"/>
  </cols>
  <sheetData>
    <row r="1" spans="1:6" s="24" customFormat="1" ht="17.5" x14ac:dyDescent="0.35">
      <c r="A1" s="24" t="s">
        <v>0</v>
      </c>
      <c r="B1" s="24" t="s">
        <v>1</v>
      </c>
      <c r="C1" s="24" t="s">
        <v>34</v>
      </c>
      <c r="D1" s="24" t="s">
        <v>6</v>
      </c>
      <c r="E1" s="24" t="s">
        <v>7</v>
      </c>
      <c r="F1" s="24" t="s">
        <v>35</v>
      </c>
    </row>
    <row r="2" spans="1:6" x14ac:dyDescent="0.35">
      <c r="A2" s="25" t="s">
        <v>8</v>
      </c>
      <c r="B2" t="s">
        <v>9</v>
      </c>
      <c r="C2" s="26">
        <v>2</v>
      </c>
      <c r="D2" s="25" t="s">
        <v>16</v>
      </c>
      <c r="E2" s="27">
        <f>DATEVALUE('sop-version-control-log'!D7) + 180</f>
        <v>46358</v>
      </c>
      <c r="F2" s="28">
        <f ca="1">E2-TODAY()</f>
        <v>91</v>
      </c>
    </row>
    <row r="3" spans="1:6" x14ac:dyDescent="0.35">
      <c r="A3" t="s">
        <v>17</v>
      </c>
      <c r="B3" t="s">
        <v>18</v>
      </c>
      <c r="C3" s="26">
        <v>2</v>
      </c>
      <c r="D3" s="7" t="s">
        <v>23</v>
      </c>
      <c r="E3" s="27">
        <f>DATEVALUE('sop-version-control-log'!D9) + 180</f>
        <v>46371</v>
      </c>
      <c r="F3" s="28">
        <f t="shared" ref="F3:F4" ca="1" si="0">E3-TODAY()</f>
        <v>104</v>
      </c>
    </row>
    <row r="4" spans="1:6" x14ac:dyDescent="0.35">
      <c r="A4" t="s">
        <v>24</v>
      </c>
      <c r="B4" t="s">
        <v>36</v>
      </c>
      <c r="C4" s="26">
        <v>2</v>
      </c>
      <c r="D4" s="7" t="s">
        <v>31</v>
      </c>
      <c r="E4" s="27">
        <f>DATEVALUE('sop-version-control-log'!D11) + 180</f>
        <v>46426</v>
      </c>
      <c r="F4" s="28">
        <f t="shared" ca="1" si="0"/>
        <v>159</v>
      </c>
    </row>
  </sheetData>
  <conditionalFormatting sqref="F2:F4">
    <cfRule type="cellIs" dxfId="2" priority="1" operator="greaterThan">
      <formula>30</formula>
    </cfRule>
    <cfRule type="cellIs" dxfId="1" priority="2" operator="lessThanOrEqual">
      <formula>7</formula>
    </cfRule>
    <cfRule type="cellIs" dxfId="0" priority="3" operator="between">
      <formula>7</formula>
      <formula>30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sop-version-control-log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Adeola Suleiman</dc:creator>
  <cp:lastModifiedBy>Adeola Suleiman</cp:lastModifiedBy>
  <dcterms:created xsi:type="dcterms:W3CDTF">2026-09-01T20:45:43Z</dcterms:created>
  <dcterms:modified xsi:type="dcterms:W3CDTF">2026-09-01T23:24:34Z</dcterms:modified>
</cp:coreProperties>
</file>